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wnload\webstory-kesehatan-bps\data\"/>
    </mc:Choice>
  </mc:AlternateContent>
  <xr:revisionPtr revIDLastSave="0" documentId="13_ncr:1_{F77599BE-5B6F-494D-9B4E-7B139515BF3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hierarki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" i="1" l="1"/>
  <c r="J2" i="1"/>
  <c r="I3" i="1"/>
  <c r="J3" i="1"/>
  <c r="I4" i="1"/>
  <c r="J4" i="1"/>
  <c r="I5" i="1"/>
  <c r="J5" i="1"/>
  <c r="I6" i="1"/>
  <c r="J6" i="1"/>
  <c r="I7" i="1"/>
  <c r="J7" i="1"/>
  <c r="I8" i="1"/>
  <c r="J8" i="1"/>
</calcChain>
</file>

<file path=xl/sharedStrings.xml><?xml version="1.0" encoding="utf-8"?>
<sst xmlns="http://schemas.openxmlformats.org/spreadsheetml/2006/main" count="38" uniqueCount="30">
  <si>
    <t>Kode 3 Digit</t>
  </si>
  <si>
    <t>1 Digit (Kategori Utama)</t>
  </si>
  <si>
    <t>2 Digit (Sub-Kategori)</t>
  </si>
  <si>
    <t>3 Digit (Detail Komoditas)</t>
  </si>
  <si>
    <t>CIF 2025 (USD)</t>
  </si>
  <si>
    <t>CIF 2024 (USD)</t>
  </si>
  <si>
    <t>Berat 2024 (kg)</t>
  </si>
  <si>
    <t>Berat 2025 (kg)</t>
  </si>
  <si>
    <t>Pertumbuhan Nilai 2025 vs 2024 (%)</t>
  </si>
  <si>
    <t>Nilai per kg 2025 (USD/kg)</t>
  </si>
  <si>
    <t>541</t>
  </si>
  <si>
    <t>Chemicals and related products, n.e.s.</t>
  </si>
  <si>
    <t>Medicinal and pharmaceutical products</t>
  </si>
  <si>
    <t>Medicinal And Pharmaceutical Products</t>
  </si>
  <si>
    <t>542</t>
  </si>
  <si>
    <t>Medicaments, Including Veterinary Medicaments</t>
  </si>
  <si>
    <t>871</t>
  </si>
  <si>
    <t>Miscellaneous manufactured articles</t>
  </si>
  <si>
    <t>Professional, scientific and controlling instruments and apparatus, n.e.s.</t>
  </si>
  <si>
    <t>Optical Instrument And Apparatus</t>
  </si>
  <si>
    <t>872</t>
  </si>
  <si>
    <t>Medical Instruments And Appliances</t>
  </si>
  <si>
    <t>873</t>
  </si>
  <si>
    <t>Meters And Counters</t>
  </si>
  <si>
    <t>874</t>
  </si>
  <si>
    <t>Measuring, Checking, Analysing, And Controlling Instruments And Apparatus, N.E.S.</t>
  </si>
  <si>
    <t>774</t>
  </si>
  <si>
    <t>Machinery and transport equipment</t>
  </si>
  <si>
    <t>Electrical machinery, apparatus and appliances, n.e.s., and electrical parts thereof</t>
  </si>
  <si>
    <t>Electrical Apparatus For Medical Purposes And Radiological Apparatus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</si>
</sst>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2" fontId="2" fillId="0" borderId="1" xfId="0" applyNumberFormat="1" applyFont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Normal="100" workbookViewId="0">
      <pane ySplit="1" topLeftCell="A2" activePane="bottomLeft" state="frozen"/>
      <selection pane="bottomLeft" sqref="A1:K261"/>
    </sheetView>
  </sheetViews>
  <sheetFormatPr defaultColWidth="8.6328125" defaultRowHeight="14.5" x14ac:dyDescent="0.35"/>
  <cols>
    <col min="1" max="1" width="12" customWidth="1"/>
    <col min="2" max="2" width="38" customWidth="1"/>
    <col min="3" max="3" width="70" customWidth="1"/>
    <col min="4" max="4" width="72" customWidth="1"/>
    <col min="5" max="6" width="18" customWidth="1"/>
    <col min="7" max="8" width="16" customWidth="1"/>
    <col min="9" max="9" width="20" customWidth="1"/>
    <col min="10" max="10" width="18" customWidth="1"/>
  </cols>
  <sheetData>
    <row r="1" spans="1:10" ht="33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3" t="s">
        <v>11</v>
      </c>
      <c r="C2" s="3" t="s">
        <v>12</v>
      </c>
      <c r="D2" s="3" t="s">
        <v>13</v>
      </c>
      <c r="E2" s="4">
        <v>1169781011</v>
      </c>
      <c r="F2" s="4">
        <v>1065166164</v>
      </c>
      <c r="G2" s="4">
        <v>33859152</v>
      </c>
      <c r="H2" s="4">
        <v>34203966</v>
      </c>
      <c r="I2" s="5">
        <f t="shared" ref="I2:I8" si="0">(E2/F2-1)*100</f>
        <v>9.8214579598681304</v>
      </c>
      <c r="J2" s="6">
        <f t="shared" ref="J2:J8" si="1">E2/H2</f>
        <v>34.200157110435676</v>
      </c>
    </row>
    <row r="3" spans="1:10" x14ac:dyDescent="0.35">
      <c r="A3" s="2" t="s">
        <v>14</v>
      </c>
      <c r="B3" s="3" t="s">
        <v>11</v>
      </c>
      <c r="C3" s="3" t="s">
        <v>12</v>
      </c>
      <c r="D3" s="3" t="s">
        <v>15</v>
      </c>
      <c r="E3" s="4">
        <v>842814692</v>
      </c>
      <c r="F3" s="4">
        <v>818492899</v>
      </c>
      <c r="G3" s="4">
        <v>20887315</v>
      </c>
      <c r="H3" s="4">
        <v>20253293</v>
      </c>
      <c r="I3" s="5">
        <f t="shared" si="0"/>
        <v>2.9715337823596588</v>
      </c>
      <c r="J3" s="6">
        <f t="shared" si="1"/>
        <v>41.613711508543325</v>
      </c>
    </row>
    <row r="4" spans="1:10" x14ac:dyDescent="0.35">
      <c r="A4" s="2" t="s">
        <v>16</v>
      </c>
      <c r="B4" s="3" t="s">
        <v>17</v>
      </c>
      <c r="C4" s="3" t="s">
        <v>18</v>
      </c>
      <c r="D4" s="3" t="s">
        <v>19</v>
      </c>
      <c r="E4" s="4">
        <v>517200237</v>
      </c>
      <c r="F4" s="4">
        <v>350411372</v>
      </c>
      <c r="G4" s="4">
        <v>4304067</v>
      </c>
      <c r="H4" s="4">
        <v>4456263</v>
      </c>
      <c r="I4" s="5">
        <f t="shared" si="0"/>
        <v>47.598017167091243</v>
      </c>
      <c r="J4" s="6">
        <f t="shared" si="1"/>
        <v>116.06142568335845</v>
      </c>
    </row>
    <row r="5" spans="1:10" x14ac:dyDescent="0.35">
      <c r="A5" s="2" t="s">
        <v>20</v>
      </c>
      <c r="B5" s="3" t="s">
        <v>17</v>
      </c>
      <c r="C5" s="3" t="s">
        <v>18</v>
      </c>
      <c r="D5" s="3" t="s">
        <v>21</v>
      </c>
      <c r="E5" s="4">
        <v>766108582</v>
      </c>
      <c r="F5" s="4">
        <v>791837665</v>
      </c>
      <c r="G5" s="4">
        <v>44203531</v>
      </c>
      <c r="H5" s="4">
        <v>44898018</v>
      </c>
      <c r="I5" s="5">
        <f t="shared" si="0"/>
        <v>-3.2492875922996212</v>
      </c>
      <c r="J5" s="6">
        <f t="shared" si="1"/>
        <v>17.063305155252063</v>
      </c>
    </row>
    <row r="6" spans="1:10" x14ac:dyDescent="0.35">
      <c r="A6" s="2" t="s">
        <v>22</v>
      </c>
      <c r="B6" s="3" t="s">
        <v>17</v>
      </c>
      <c r="C6" s="3" t="s">
        <v>18</v>
      </c>
      <c r="D6" s="3" t="s">
        <v>23</v>
      </c>
      <c r="E6" s="4">
        <v>240238860</v>
      </c>
      <c r="F6" s="4">
        <v>250977808</v>
      </c>
      <c r="G6" s="4">
        <v>10716641</v>
      </c>
      <c r="H6" s="4">
        <v>9331765</v>
      </c>
      <c r="I6" s="5">
        <f t="shared" si="0"/>
        <v>-4.2788436497939291</v>
      </c>
      <c r="J6" s="6">
        <f t="shared" si="1"/>
        <v>25.74420380281758</v>
      </c>
    </row>
    <row r="7" spans="1:10" x14ac:dyDescent="0.35">
      <c r="A7" s="2" t="s">
        <v>24</v>
      </c>
      <c r="B7" s="3" t="s">
        <v>17</v>
      </c>
      <c r="C7" s="3" t="s">
        <v>18</v>
      </c>
      <c r="D7" s="3" t="s">
        <v>25</v>
      </c>
      <c r="E7" s="4">
        <v>2649979380</v>
      </c>
      <c r="F7" s="4">
        <v>2418746747</v>
      </c>
      <c r="G7" s="4">
        <v>62070848</v>
      </c>
      <c r="H7" s="4">
        <v>51107886</v>
      </c>
      <c r="I7" s="5">
        <f t="shared" si="0"/>
        <v>9.5600183560681007</v>
      </c>
      <c r="J7" s="6">
        <f t="shared" si="1"/>
        <v>51.850694430992512</v>
      </c>
    </row>
    <row r="8" spans="1:10" x14ac:dyDescent="0.35">
      <c r="A8" s="2" t="s">
        <v>26</v>
      </c>
      <c r="B8" s="3" t="s">
        <v>27</v>
      </c>
      <c r="C8" s="3" t="s">
        <v>28</v>
      </c>
      <c r="D8" s="3" t="s">
        <v>29</v>
      </c>
      <c r="E8" s="4">
        <v>320182923</v>
      </c>
      <c r="F8" s="4">
        <v>348156569</v>
      </c>
      <c r="G8" s="4">
        <v>3219960</v>
      </c>
      <c r="H8" s="4">
        <v>2940627</v>
      </c>
      <c r="I8" s="5">
        <f t="shared" si="0"/>
        <v>-8.0347890836435667</v>
      </c>
      <c r="J8" s="6">
        <f t="shared" si="1"/>
        <v>108.88253525523638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hierarki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Henny hen</cp:lastModifiedBy>
  <cp:revision>0</cp:revision>
  <dcterms:created xsi:type="dcterms:W3CDTF">2026-10-02T01:57:11Z</dcterms:created>
  <dcterms:modified xsi:type="dcterms:W3CDTF">2026-10-02T14:24:50Z</dcterms:modified>
  <dc:language>en-US</dc:language>
</cp:coreProperties>
</file>